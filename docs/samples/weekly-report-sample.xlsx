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c3e4d7210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93516eef4b84d97"/>
    <x:sheet xmlns:r="http://schemas.openxmlformats.org/officeDocument/2006/relationships" name="공장별 실적" sheetId="2" r:id="Re89d5fe438f640eb"/>
    <x:sheet xmlns:r="http://schemas.openxmlformats.org/officeDocument/2006/relationships" name="알람 요약" sheetId="3" r:id="R88ecb28544614295"/>
    <x:sheet xmlns:r="http://schemas.openxmlformats.org/officeDocument/2006/relationships" name="차트 데이터" sheetId="4" r:id="R991387e8cade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0.00"/>
    <x:numFmt numFmtId="203" formatCode="0.0%"/>
  </x:numFmts>
  <x:fonts count="5">
    <x:font>
      <x:sz val="11"/>
      <x:name val="Carlito"/>
    </x:font>
    <x:font>
      <x:b/>
      <x:sz val="22"/>
      <x:color rgb="111827"/>
      <x:name val="Carlito"/>
    </x:font>
    <x:font>
      <x:sz val="11"/>
      <x:color rgb="64748B"/>
      <x:name val="Carlito"/>
    </x:font>
    <x:font>
      <x:b/>
      <x:sz val="16"/>
      <x:color rgb="111827"/>
      <x:name val="Carlito"/>
    </x:font>
    <x:font>
      <x:b/>
      <x:sz val="11"/>
      <x:color rgb="1A73E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EDF4FF"/>
      </x:patternFill>
    </x:fill>
    <x:fill>
      <x:patternFill patternType="solid">
        <x:fgColor rgb="F8FB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2182760564e02" /><Relationship Type="http://schemas.openxmlformats.org/officeDocument/2006/relationships/theme" Target="/xl/theme/theme1.xml" Id="R3a6cc61237c54a66" /><Relationship Type="http://schemas.openxmlformats.org/officeDocument/2006/relationships/sharedStrings" Target="/xl/sharedStrings.xml" Id="R6810a8148b924f9c" /><Relationship Type="http://schemas.openxmlformats.org/officeDocument/2006/relationships/worksheet" Target="/xl/worksheets/sheet1.xml" Id="R193516eef4b84d97" /><Relationship Type="http://schemas.openxmlformats.org/officeDocument/2006/relationships/worksheet" Target="/xl/worksheets/sheet2.xml" Id="Re89d5fe438f640eb" /><Relationship Type="http://schemas.openxmlformats.org/officeDocument/2006/relationships/worksheet" Target="/xl/worksheets/sheet3.xml" Id="R88ecb28544614295" /><Relationship Type="http://schemas.openxmlformats.org/officeDocument/2006/relationships/worksheet" Target="/xl/worksheets/sheet4.xml" Id="R991387e8cade49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6650e574ed479d" /><Relationship Type="http://schemas.openxmlformats.org/officeDocument/2006/relationships/chart" Target="/xl/drawings/charts/chart2.xml" Id="R8962a5e198ce41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전력량 추이 샘플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3공장</c:v>
          </c:tx>
          <c:cat>
            <c:strRef>
              <c:f>'차트 데이터'!$A$2:$A$8</c:f>
              <c:strCache>
                <c:ptCount val="0"/>
              </c:strCache>
            </c:strRef>
          </c:cat>
          <c:val>
            <c:numRef>
              <c:f>'차트 데이터'!$B$2:$B$8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4공장</c:v>
          </c:tx>
          <c:cat>
            <c:strRef>
              <c:f>'차트 데이터'!$A$2:$A$8</c:f>
              <c:strCache>
                <c:ptCount val="0"/>
              </c:strCache>
            </c:strRef>
          </c:cat>
          <c:val>
            <c:numRef>
              <c:f>'차트 데이터'!$C$2:$C$8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5공장</c:v>
          </c:tx>
          <c:cat>
            <c:strRef>
              <c:f>'차트 데이터'!$A$2:$A$8</c:f>
              <c:strCache>
                <c:ptCount val="0"/>
              </c:strCache>
            </c:strRef>
          </c:cat>
          <c:val>
            <c:numRef>
              <c:f>'차트 데이터'!$D$2:$D$8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알람 유형별 발생 건수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건수</c:v>
          </c:tx>
          <c:cat>
            <c:strRef>
              <c:f>'차트 데이터'!$F$2:$F$4</c:f>
              <c:strCache>
                <c:ptCount val="0"/>
              </c:strCache>
            </c:strRef>
          </c:cat>
          <c:val>
            <c:numRef>
              <c:f>'차트 데이터'!$G$2:$G$4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6650e574ed479d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62a5e198ce41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oryWeeklyTable" displayName="FactoryWeeklyTable" ref="A1:H5" headerRowCount="1">
  <x:tableColumns count="8">
    <x:tableColumn id="1" name="공장"/>
    <x:tableColumn id="2" name="전력량(kWh)"/>
    <x:tableColumn id="3" name="생산량(ton)"/>
    <x:tableColumn id="4" name="원단위"/>
    <x:tableColumn id="5" name="목표"/>
    <x:tableColumn id="6" name="달성률"/>
    <x:tableColumn id="7" name="상태"/>
    <x:tableColumn id="8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WeeklyAlarmTable" displayName="WeeklyAlarmTable" ref="A1:E4" headerRowCount="1">
  <x:tableColumns count="5">
    <x:tableColumn id="1" name="구분"/>
    <x:tableColumn id="2" name="건수"/>
    <x:tableColumn id="3" name="대표 설비"/>
    <x:tableColumn id="4" name="조치 상태"/>
    <x:tableColumn id="5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41fdf2edea49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3de5ccac0741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5518d1da0442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2" t="str">
        <x:v>FEMS 주간 리포트 샘플</x:v>
      </x:c>
    </x:row>
    <x:row r="2" ht="24" customHeight="1">
      <x:c r="A2" s="3" t="str">
        <x:v>보고 기간: 2025-05-18 ~ 2025-05-24    생성일: 2026-05-20    대상: 전체 공장</x:v>
      </x:c>
    </x:row>
    <x:row r="4" ht="30" customHeight="1">
      <x:c r="A4" s="4" t="str">
        <x:v>핵심 요약</x:v>
      </x:c>
    </x:row>
    <x:row r="5">
      <x:c r="A5" s="8" t="str">
        <x:v>항목</x:v>
      </x:c>
      <x:c r="B5" s="8" t="str">
        <x:v>값</x:v>
      </x:c>
      <x:c r="C5" s="8" t="str">
        <x:v>전주 대비/비고</x:v>
      </x:c>
      <x:c r="D5" s="8" t="str"/>
      <x:c r="E5" s="8" t="str">
        <x:v>항목</x:v>
      </x:c>
      <x:c r="F5" s="8" t="str">
        <x:v>값</x:v>
      </x:c>
      <x:c r="G5" s="8" t="str">
        <x:v>전주 대비/비고</x:v>
      </x:c>
      <x:c r="H5" s="8" t="str"/>
      <x:c r="I5" s="8" t="str">
        <x:v>항목</x:v>
      </x:c>
      <x:c r="J5" s="8" t="str">
        <x:v>값</x:v>
      </x:c>
    </x:row>
    <x:row r="6">
      <x:c r="A6" s="10" t="str">
        <x:v>총 전력량</x:v>
      </x:c>
      <x:c r="B6" s="11" t="n">
        <x:v>729674</x:v>
      </x:c>
      <x:c r="C6" s="10" t="str">
        <x:v>전주 대비 ▲ 3.4%</x:v>
      </x:c>
      <x:c r="D6" s="10" t="str"/>
      <x:c r="E6" s="10" t="str">
        <x:v>총 생산량</x:v>
      </x:c>
      <x:c r="F6" s="12" t="n">
        <x:v>10612.2</x:v>
      </x:c>
      <x:c r="G6" s="10" t="str">
        <x:v>전주 대비 ▲ 1.5%</x:v>
      </x:c>
      <x:c r="H6" s="10" t="str"/>
      <x:c r="I6" s="10" t="str">
        <x:v>평균 원단위</x:v>
      </x:c>
      <x:c r="J6" s="13" t="n">
        <x:v>19.68</x:v>
      </x:c>
    </x:row>
    <x:row r="7">
      <x:c r="A7" s="10" t="str">
        <x:v>최대 전력</x:v>
      </x:c>
      <x:c r="B7" s="11" t="n">
        <x:v>14820</x:v>
      </x:c>
      <x:c r="C7" s="10" t="str">
        <x:v>2025-05-22 14:00</x:v>
      </x:c>
      <x:c r="D7" s="10" t="str"/>
      <x:c r="E7" s="10" t="str">
        <x:v>알람 발생</x:v>
      </x:c>
      <x:c r="F7" s="12" t="n">
        <x:v>10</x:v>
      </x:c>
      <x:c r="G7" s="10" t="str">
        <x:v>미확인 2건</x:v>
      </x:c>
      <x:c r="H7" s="10" t="str"/>
      <x:c r="I7" s="10" t="str">
        <x:v>목표 원단위</x:v>
      </x:c>
      <x:c r="J7" s="13" t="n">
        <x:v>20.8</x:v>
      </x:c>
    </x:row>
    <x:row r="8">
      <x:c r="A8" s="10" t="str">
        <x:v>목표 달성률</x:v>
      </x:c>
      <x:c r="B8" s="14" t="n">
        <x:v>0.946</x:v>
      </x:c>
      <x:c r="C8" s="10" t="str">
        <x:v>전체 공장 기준</x:v>
      </x:c>
      <x:c r="D8" s="10" t="str"/>
      <x:c r="E8" s="10" t="str">
        <x:v>경고 알람</x:v>
      </x:c>
      <x:c r="F8" s="12" t="n">
        <x:v>6</x:v>
      </x:c>
      <x:c r="G8" s="10" t="str">
        <x:v>확인 완료 4건</x:v>
      </x:c>
      <x:c r="H8" s="10" t="str"/>
      <x:c r="I8" s="10" t="str">
        <x:v>정지 알람</x:v>
      </x:c>
      <x:c r="J8" s="13" t="n">
        <x:v>3</x:v>
      </x:c>
    </x:row>
    <x:row r="9">
      <x:c r="A9" s="10" t="str">
        <x:v>통신 이상</x:v>
      </x:c>
      <x:c r="B9" s="10" t="n">
        <x:v>1</x:v>
      </x:c>
      <x:c r="C9" s="10" t="str">
        <x:v>원인 확인 중</x:v>
      </x:c>
      <x:c r="D9" s="10" t="str"/>
      <x:c r="E9" s="10" t="str">
        <x:v>보고 상태</x:v>
      </x:c>
      <x:c r="F9" s="12" t="str">
        <x:v>샘플</x:v>
      </x:c>
      <x:c r="G9" s="10" t="str">
        <x:v>실제 운영 데이터 아님</x:v>
      </x:c>
      <x:c r="H9" s="10" t="str"/>
      <x:c r="I9" s="10" t="str"/>
      <x:c r="J9" s="10" t="str"/>
    </x:row>
    <x:row r="10">
      <x:c r="A10" s="10" t="str">
        <x:v>InfluxDB</x:v>
      </x:c>
      <x:c r="B10" s="10" t="str">
        <x:v>bucket: gems_test</x:v>
      </x:c>
      <x:c r="C10" s="10" t="str">
        <x:v>measurement: gems_power</x:v>
      </x:c>
      <x:c r="D10" s="10" t="str"/>
      <x:c r="E10" s="10" t="str"/>
      <x:c r="F10" s="10" t="str"/>
      <x:c r="G10" s="10" t="str"/>
      <x:c r="H10" s="10" t="str"/>
      <x:c r="I10" s="10" t="str"/>
      <x:c r="J10" s="10" t="str"/>
    </x:row>
    <x:row r="12" ht="30" customHeight="1">
      <x:c r="A12" s="4" t="str">
        <x:v>공장별 주간 실적</x:v>
      </x:c>
    </x:row>
    <x:row r="13">
      <x:c r="A13" s="8" t="str">
        <x:f>'공장별 실적'!A1</x:f>
        <x:v>공장</x:v>
      </x:c>
      <x:c r="B13" s="8" t="str">
        <x:f>'공장별 실적'!B1</x:f>
        <x:v>전력량(kWh)</x:v>
      </x:c>
      <x:c r="C13" s="8" t="str">
        <x:f>'공장별 실적'!C1</x:f>
        <x:v>생산량(ton)</x:v>
      </x:c>
      <x:c r="D13" s="8" t="str">
        <x:f>'공장별 실적'!D1</x:f>
        <x:v>원단위</x:v>
      </x:c>
      <x:c r="E13" s="8" t="str">
        <x:f>'공장별 실적'!E1</x:f>
        <x:v>목표</x:v>
      </x:c>
      <x:c r="F13" s="8" t="str">
        <x:f>'공장별 실적'!F1</x:f>
        <x:v>달성률</x:v>
      </x:c>
      <x:c r="G13" s="8" t="str">
        <x:f>'공장별 실적'!G1</x:f>
        <x:v>상태</x:v>
      </x:c>
    </x:row>
    <x:row r="14">
      <x:c r="A14" s="10" t="str">
        <x:f>'공장별 실적'!A2</x:f>
        <x:v>3공장</x:v>
      </x:c>
      <x:c r="B14" s="12" t="n">
        <x:f>'공장별 실적'!B2</x:f>
        <x:v>245123</x:v>
      </x:c>
      <x:c r="C14" s="12" t="n">
        <x:f>'공장별 실적'!C2</x:f>
        <x:v>3652.1</x:v>
      </x:c>
      <x:c r="D14" s="13" t="n">
        <x:f>'공장별 실적'!D2</x:f>
        <x:v>19.58</x:v>
      </x:c>
      <x:c r="E14" s="13" t="n">
        <x:f>'공장별 실적'!E2</x:f>
        <x:v>20.5</x:v>
      </x:c>
      <x:c r="F14" s="14" t="n">
        <x:f>'공장별 실적'!F2</x:f>
        <x:v>0.955</x:v>
      </x:c>
      <x:c r="G14" s="10" t="str">
        <x:f>'공장별 실적'!G2</x:f>
        <x:v>정상</x:v>
      </x:c>
    </x:row>
    <x:row r="15">
      <x:c r="A15" s="10" t="str">
        <x:f>'공장별 실적'!A3</x:f>
        <x:v>4공장</x:v>
      </x:c>
      <x:c r="B15" s="12" t="n">
        <x:f>'공장별 실적'!B3</x:f>
        <x:v>268654</x:v>
      </x:c>
      <x:c r="C15" s="12" t="n">
        <x:f>'공장별 실적'!C3</x:f>
        <x:v>3857.7</x:v>
      </x:c>
      <x:c r="D15" s="13" t="n">
        <x:f>'공장별 실적'!D3</x:f>
        <x:v>18.82</x:v>
      </x:c>
      <x:c r="E15" s="13" t="n">
        <x:f>'공장별 실적'!E3</x:f>
        <x:v>20</x:v>
      </x:c>
      <x:c r="F15" s="14" t="n">
        <x:f>'공장별 실적'!F3</x:f>
        <x:v>0.941</x:v>
      </x:c>
      <x:c r="G15" s="10" t="str">
        <x:f>'공장별 실적'!G3</x:f>
        <x:v>정상</x:v>
      </x:c>
    </x:row>
    <x:row r="16">
      <x:c r="A16" s="10" t="str">
        <x:f>'공장별 실적'!A4</x:f>
        <x:v>5공장</x:v>
      </x:c>
      <x:c r="B16" s="12" t="n">
        <x:f>'공장별 실적'!B4</x:f>
        <x:v>215897</x:v>
      </x:c>
      <x:c r="C16" s="12" t="n">
        <x:f>'공장별 실적'!C4</x:f>
        <x:v>3102.4</x:v>
      </x:c>
      <x:c r="D16" s="13" t="n">
        <x:f>'공장별 실적'!D4</x:f>
        <x:v>20.73</x:v>
      </x:c>
      <x:c r="E16" s="13" t="n">
        <x:f>'공장별 실적'!E4</x:f>
        <x:v>22</x:v>
      </x:c>
      <x:c r="F16" s="14" t="n">
        <x:f>'공장별 실적'!F4</x:f>
        <x:v>0.942</x:v>
      </x:c>
      <x:c r="G16" s="10" t="str">
        <x:f>'공장별 실적'!G4</x:f>
        <x:v>주의</x:v>
      </x:c>
    </x:row>
    <x:row r="17">
      <x:c r="A17" s="10" t="str">
        <x:f>'공장별 실적'!A5</x:f>
        <x:v>전체</x:v>
      </x:c>
      <x:c r="B17" s="12" t="n">
        <x:f>'공장별 실적'!B5</x:f>
        <x:v>729674</x:v>
      </x:c>
      <x:c r="C17" s="12" t="n">
        <x:f>'공장별 실적'!C5</x:f>
        <x:v>10612.2</x:v>
      </x:c>
      <x:c r="D17" s="13" t="n">
        <x:f>'공장별 실적'!D5</x:f>
        <x:v>19.68</x:v>
      </x:c>
      <x:c r="E17" s="13" t="n">
        <x:f>'공장별 실적'!E5</x:f>
        <x:v>20.8</x:v>
      </x:c>
      <x:c r="F17" s="14" t="n">
        <x:f>'공장별 실적'!F5</x:f>
        <x:v>0.946</x:v>
      </x:c>
      <x:c r="G17" s="10" t="str">
        <x:f>'공장별 실적'!G5</x:f>
        <x:v>정상</x:v>
      </x:c>
    </x:row>
    <x:row r="18">
      <x:c r="A18"/>
      <x:c r="B18"/>
      <x:c r="C18"/>
      <x:c r="D18"/>
      <x:c r="E18"/>
      <x:c r="F18"/>
      <x:c r="G18"/>
    </x:row>
    <x:row r="20" ht="30" customHeight="1">
      <x:c r="A20" s="4" t="str">
        <x:v>운영 메모</x:v>
      </x:c>
    </x:row>
    <x:row r="21">
      <x:c r="A21" s="17" t="str">
        <x:v>1. 5공장은 생산량 입력 누락 및 원단위 상승 여부를 우선 확인합니다.</x:v>
      </x:c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</x:row>
    <x:row r="22">
      <x:c r="A22" s="17" t="str">
        <x:v>2. 4공장 전기로 11의 온도 상승 경고는 정비 이력과 함께 교차 확인합니다.</x:v>
      </x:c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</x:row>
    <x:row r="23">
      <x:c r="A23" s="17" t="str">
        <x:v>3. 주간 리포트 Excel 내보내기 연동 시 Flask API 집계 결과와 Grafana 패널 이미지를 조합합니다.</x:v>
      </x:c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</x:row>
    <x:row r="24">
      <x:c r="A24" s="17" t="str">
        <x:v>4. 본 문서는 리포트 화면의 Excel 샘플이며 실제 운영 데이터가 아닙니다.</x:v>
      </x:c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</x:row>
  </x:sheetData>
  <x:mergeCells>
    <x:mergeCell ref="A1:L1"/>
    <x:mergeCell ref="A2:L2"/>
    <x:mergeCell ref="A21:L21"/>
    <x:mergeCell ref="A22:L22"/>
    <x:mergeCell ref="A23:L23"/>
    <x:mergeCell ref="A24:L24"/>
  </x:mergeCells>
  <x:pageMargins left="0.7" right="0.7" top="0.75" bottom="0.75" header="0.3" footer="0.3"/>
  <x:drawing xmlns:r="http://schemas.openxmlformats.org/officeDocument/2006/relationships" r:id="Rdc41fdf2edea49d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</x:cols>
  <x:sheetData>
    <x:row r="1">
      <x:c r="A1" s="8" t="str">
        <x:v>공장</x:v>
      </x:c>
      <x:c r="B1" s="8" t="str">
        <x:v>전력량(kWh)</x:v>
      </x:c>
      <x:c r="C1" s="8" t="str">
        <x:v>생산량(ton)</x:v>
      </x:c>
      <x:c r="D1" s="8" t="str">
        <x:v>원단위</x:v>
      </x:c>
      <x:c r="E1" s="8" t="str">
        <x:v>목표</x:v>
      </x:c>
      <x:c r="F1" s="8" t="str">
        <x:v>달성률</x:v>
      </x:c>
      <x:c r="G1" s="8" t="str">
        <x:v>상태</x:v>
      </x:c>
      <x:c r="H1" s="8" t="str">
        <x:v>비고</x:v>
      </x:c>
    </x:row>
    <x:row r="2">
      <x:c r="A2" s="10" t="str">
        <x:v>3공장</x:v>
      </x:c>
      <x:c r="B2" s="12" t="n">
        <x:v>245123</x:v>
      </x:c>
      <x:c r="C2" s="12" t="n">
        <x:v>3652.1</x:v>
      </x:c>
      <x:c r="D2" s="13" t="n">
        <x:v>19.58</x:v>
      </x:c>
      <x:c r="E2" s="13" t="n">
        <x:v>20.5</x:v>
      </x:c>
      <x:c r="F2" s="14" t="n">
        <x:v>0.955</x:v>
      </x:c>
      <x:c r="G2" s="10" t="str">
        <x:v>정상</x:v>
      </x:c>
      <x:c r="H2" s="10" t="str">
        <x:v>금주 추이 안정</x:v>
      </x:c>
    </x:row>
    <x:row r="3">
      <x:c r="A3" s="10" t="str">
        <x:v>4공장</x:v>
      </x:c>
      <x:c r="B3" s="12" t="n">
        <x:v>268654</x:v>
      </x:c>
      <x:c r="C3" s="12" t="n">
        <x:v>3857.7</x:v>
      </x:c>
      <x:c r="D3" s="13" t="n">
        <x:v>18.82</x:v>
      </x:c>
      <x:c r="E3" s="13" t="n">
        <x:v>20</x:v>
      </x:c>
      <x:c r="F3" s="14" t="n">
        <x:v>0.941</x:v>
      </x:c>
      <x:c r="G3" s="10" t="str">
        <x:v>정상</x:v>
      </x:c>
      <x:c r="H3" s="10" t="str">
        <x:v>전력량 최고</x:v>
      </x:c>
    </x:row>
    <x:row r="4">
      <x:c r="A4" s="10" t="str">
        <x:v>5공장</x:v>
      </x:c>
      <x:c r="B4" s="12" t="n">
        <x:v>215897</x:v>
      </x:c>
      <x:c r="C4" s="12" t="n">
        <x:v>3102.4</x:v>
      </x:c>
      <x:c r="D4" s="13" t="n">
        <x:v>20.73</x:v>
      </x:c>
      <x:c r="E4" s="13" t="n">
        <x:v>22</x:v>
      </x:c>
      <x:c r="F4" s="14" t="n">
        <x:v>0.942</x:v>
      </x:c>
      <x:c r="G4" s="10" t="str">
        <x:v>주의</x:v>
      </x:c>
      <x:c r="H4" s="10" t="str">
        <x:v>생산량 입력 확인 필요</x:v>
      </x:c>
    </x:row>
    <x:row r="5">
      <x:c r="A5" s="10" t="str">
        <x:v>전체</x:v>
      </x:c>
      <x:c r="B5" s="12" t="n">
        <x:v>729674</x:v>
      </x:c>
      <x:c r="C5" s="12" t="n">
        <x:v>10612.2</x:v>
      </x:c>
      <x:c r="D5" s="13" t="n">
        <x:v>19.68</x:v>
      </x:c>
      <x:c r="E5" s="13" t="n">
        <x:v>20.8</x:v>
      </x:c>
      <x:c r="F5" s="14" t="n">
        <x:v>0.946</x:v>
      </x:c>
      <x:c r="G5" s="10" t="str">
        <x:v>정상</x:v>
      </x:c>
      <x:c r="H5" s="10" t="str">
        <x:v>공장 합산</x:v>
      </x:c>
    </x:row>
  </x:sheetData>
  <x:pageMargins left="0.7" right="0.7" top="0.75" bottom="0.75" header="0.3" footer="0.3"/>
  <x:tableParts count="1">
    <x:tablePart xmlns:r="http://schemas.openxmlformats.org/officeDocument/2006/relationships" r:id="R8e3de5ccac0741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24" hidden="0" customWidth="1"/>
    <x:col min="5" max="5" width="28" hidden="0" customWidth="1"/>
  </x:cols>
  <x:sheetData>
    <x:row r="1">
      <x:c r="A1" s="8" t="str">
        <x:v>구분</x:v>
      </x:c>
      <x:c r="B1" s="8" t="str">
        <x:v>건수</x:v>
      </x:c>
      <x:c r="C1" s="8" t="str">
        <x:v>대표 설비</x:v>
      </x:c>
      <x:c r="D1" s="8" t="str">
        <x:v>조치 상태</x:v>
      </x:c>
      <x:c r="E1" s="8" t="str">
        <x:v>비고</x:v>
      </x:c>
    </x:row>
    <x:row r="2">
      <x:c r="A2" s="10" t="str">
        <x:v>경고</x:v>
      </x:c>
      <x:c r="B2" s="10" t="n">
        <x:v>6</x:v>
      </x:c>
      <x:c r="C2" s="10" t="str">
        <x:v>4공장 전기로 11</x:v>
      </x:c>
      <x:c r="D2" s="10" t="str">
        <x:v>4건 확인 완료</x:v>
      </x:c>
      <x:c r="E2" s="10" t="str">
        <x:v>온도 상승 경고 포함</x:v>
      </x:c>
    </x:row>
    <x:row r="3">
      <x:c r="A3" s="10" t="str">
        <x:v>정지</x:v>
      </x:c>
      <x:c r="B3" s="10" t="n">
        <x:v>3</x:v>
      </x:c>
      <x:c r="C3" s="10" t="str">
        <x:v>5공장 전기로 17</x:v>
      </x:c>
      <x:c r="D3" s="10" t="str">
        <x:v>2건 조치 완료</x:v>
      </x:c>
      <x:c r="E3" s="10" t="str">
        <x:v>정지 이력 확인 필요</x:v>
      </x:c>
    </x:row>
    <x:row r="4">
      <x:c r="A4" s="10" t="str">
        <x:v>통신이상</x:v>
      </x:c>
      <x:c r="B4" s="10" t="n">
        <x:v>1</x:v>
      </x:c>
      <x:c r="C4" s="10" t="str">
        <x:v>3공장 전기로 03</x:v>
      </x:c>
      <x:c r="D4" s="10" t="str">
        <x:v>원인 확인 중</x:v>
      </x:c>
      <x:c r="E4" s="10" t="str">
        <x:v>RTU 통신 상태 점검</x:v>
      </x:c>
    </x:row>
  </x:sheetData>
  <x:pageMargins left="0.7" right="0.7" top="0.75" bottom="0.75" header="0.3" footer="0.3"/>
  <x:tableParts count="1">
    <x:tablePart xmlns:r="http://schemas.openxmlformats.org/officeDocument/2006/relationships" r:id="R6f5518d1da0442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일자</x:v>
      </x:c>
      <x:c r="B1" s="8" t="str">
        <x:v>3공장</x:v>
      </x:c>
      <x:c r="C1" s="8" t="str">
        <x:v>4공장</x:v>
      </x:c>
      <x:c r="D1" s="8" t="str">
        <x:v>5공장</x:v>
      </x:c>
      <x:c r="F1" s="8" t="str">
        <x:v>알람 구분</x:v>
      </x:c>
      <x:c r="G1" s="8" t="str">
        <x:v>건수</x:v>
      </x:c>
    </x:row>
    <x:row r="2">
      <x:c r="A2" s="10" t="str">
        <x:v>05/18</x:v>
      </x:c>
      <x:c r="B2" s="10" t="n">
        <x:v>180</x:v>
      </x:c>
      <x:c r="C2" s="10" t="n">
        <x:v>210</x:v>
      </x:c>
      <x:c r="D2" s="10" t="n">
        <x:v>160</x:v>
      </x:c>
      <x:c r="F2" s="10" t="str">
        <x:v>경고</x:v>
      </x:c>
      <x:c r="G2" s="10" t="n">
        <x:v>6</x:v>
      </x:c>
    </x:row>
    <x:row r="3">
      <x:c r="A3" s="10" t="str">
        <x:v>05/19</x:v>
      </x:c>
      <x:c r="B3" s="10" t="n">
        <x:v>205</x:v>
      </x:c>
      <x:c r="C3" s="10" t="n">
        <x:v>230</x:v>
      </x:c>
      <x:c r="D3" s="10" t="n">
        <x:v>175</x:v>
      </x:c>
      <x:c r="F3" s="10" t="str">
        <x:v>정지</x:v>
      </x:c>
      <x:c r="G3" s="10" t="n">
        <x:v>3</x:v>
      </x:c>
    </x:row>
    <x:row r="4">
      <x:c r="A4" s="10" t="str">
        <x:v>05/20</x:v>
      </x:c>
      <x:c r="B4" s="10" t="n">
        <x:v>230</x:v>
      </x:c>
      <x:c r="C4" s="10" t="n">
        <x:v>255</x:v>
      </x:c>
      <x:c r="D4" s="10" t="n">
        <x:v>200</x:v>
      </x:c>
      <x:c r="F4" s="10" t="str">
        <x:v>통신이상</x:v>
      </x:c>
      <x:c r="G4" s="10" t="n">
        <x:v>1</x:v>
      </x:c>
    </x:row>
    <x:row r="5">
      <x:c r="A5" s="10" t="str">
        <x:v>05/21</x:v>
      </x:c>
      <x:c r="B5" s="10" t="n">
        <x:v>260</x:v>
      </x:c>
      <x:c r="C5" s="10" t="n">
        <x:v>280</x:v>
      </x:c>
      <x:c r="D5" s="10" t="n">
        <x:v>215</x:v>
      </x:c>
    </x:row>
    <x:row r="6">
      <x:c r="A6" s="10" t="str">
        <x:v>05/22</x:v>
      </x:c>
      <x:c r="B6" s="10" t="n">
        <x:v>300</x:v>
      </x:c>
      <x:c r="C6" s="10" t="n">
        <x:v>320</x:v>
      </x:c>
      <x:c r="D6" s="10" t="n">
        <x:v>240</x:v>
      </x:c>
    </x:row>
    <x:row r="7">
      <x:c r="A7" s="10" t="str">
        <x:v>05/23</x:v>
      </x:c>
      <x:c r="B7" s="10" t="n">
        <x:v>285</x:v>
      </x:c>
      <x:c r="C7" s="10" t="n">
        <x:v>340</x:v>
      </x:c>
      <x:c r="D7" s="10" t="n">
        <x:v>252</x:v>
      </x:c>
    </x:row>
    <x:row r="8">
      <x:c r="A8" s="10" t="str">
        <x:v>05/24</x:v>
      </x:c>
      <x:c r="B8" s="10" t="n">
        <x:v>310</x:v>
      </x:c>
      <x:c r="C8" s="10" t="n">
        <x:v>300</x:v>
      </x:c>
      <x:c r="D8" s="10" t="n">
        <x:v>235</x:v>
      </x:c>
    </x:row>
  </x:sheetData>
  <x:pageMargins left="0.7" right="0.7" top="0.75" bottom="0.75" header="0.3" footer="0.3"/>
</x:worksheet>
</file>